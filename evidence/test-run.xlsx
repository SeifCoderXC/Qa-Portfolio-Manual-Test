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  <sheet name="Summary" sheetId="2" state="visible" r:id="rId2"/>
    <sheet name="Defects" sheetId="3" state="visible" r:id="rId3"/>
    <sheet name="Env" sheetId="4" state="visible" r:id="rId4"/>
    <sheet name="Regre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9" customWidth="1" min="4" max="4"/>
    <col width="10" customWidth="1" min="5" max="5"/>
    <col width="16" customWidth="1" min="6" max="6"/>
    <col width="18" customWidth="1" min="7" max="7"/>
    <col width="18" customWidth="1" min="8" max="8"/>
    <col width="12" customWidth="1" min="9" max="9"/>
    <col width="40" customWidth="1" min="10" max="10"/>
    <col width="20" customWidth="1" min="11" max="11"/>
  </cols>
  <sheetData>
    <row r="1">
      <c r="A1" t="inlineStr">
        <is>
          <t>TC_ID</t>
        </is>
      </c>
      <c r="B1" t="inlineStr">
        <is>
          <t>Title</t>
        </is>
      </c>
      <c r="C1" t="inlineStr">
        <is>
          <t>Type</t>
        </is>
      </c>
      <c r="D1" t="inlineStr">
        <is>
          <t>Priority</t>
        </is>
      </c>
      <c r="E1" t="inlineStr">
        <is>
          <t>Status</t>
        </is>
      </c>
      <c r="F1" t="inlineStr">
        <is>
          <t>Build</t>
        </is>
      </c>
      <c r="G1" t="inlineStr">
        <is>
          <t>Started</t>
        </is>
      </c>
      <c r="H1" t="inlineStr">
        <is>
          <t>Finished</t>
        </is>
      </c>
      <c r="I1" t="inlineStr">
        <is>
          <t>Ticket</t>
        </is>
      </c>
      <c r="J1" t="inlineStr">
        <is>
          <t>Evidence_path</t>
        </is>
      </c>
      <c r="K1" t="inlineStr">
        <is>
          <t>Notes</t>
        </is>
      </c>
    </row>
    <row r="2">
      <c r="A2" t="inlineStr">
        <is>
          <t>TC-001</t>
        </is>
      </c>
      <c r="B2" t="inlineStr">
        <is>
          <t>Launch reaches main menu</t>
        </is>
      </c>
      <c r="C2" t="inlineStr">
        <is>
          <t>Smoke</t>
        </is>
      </c>
      <c r="D2" t="inlineStr">
        <is>
          <t>High</t>
        </is>
      </c>
      <c r="E2" t="inlineStr">
        <is>
          <t>Pass</t>
        </is>
      </c>
      <c r="F2" t="inlineStr">
        <is>
          <t>4.22.3</t>
        </is>
      </c>
      <c r="G2" t="inlineStr">
        <is>
          <t>2026-09-25 00:08</t>
        </is>
      </c>
      <c r="H2" t="inlineStr">
        <is>
          <t>2026-09-25 00:09</t>
        </is>
      </c>
      <c r="I2" t="inlineStr">
        <is>
          <t>https://github.com/SeifCoderXC/Qa-Portfolio-Manual-Test/issues/1</t>
        </is>
      </c>
      <c r="J2" t="inlineStr">
        <is>
          <t>evidance/screenshots/2026-09-25_0009_TC001_main-menu.png</t>
        </is>
      </c>
      <c r="K2" t="inlineStr">
        <is>
          <t>Main menu clean, no crash dialog, version readable bottom-center</t>
        </is>
      </c>
    </row>
    <row r="3">
      <c r="A3" t="inlineStr">
        <is>
          <t>TC-002</t>
        </is>
      </c>
      <c r="B3" t="inlineStr">
        <is>
          <t>New Game screen opens</t>
        </is>
      </c>
      <c r="C3" t="inlineStr">
        <is>
          <t>Smoke</t>
        </is>
      </c>
      <c r="D3" t="inlineStr">
        <is>
          <t>High</t>
        </is>
      </c>
      <c r="E3" t="inlineStr">
        <is>
          <t>Pass</t>
        </is>
      </c>
      <c r="F3" t="inlineStr">
        <is>
          <t>4.22.3</t>
        </is>
      </c>
      <c r="G3" t="inlineStr">
        <is>
          <t>2026-09-25 00:13</t>
        </is>
      </c>
      <c r="H3" t="inlineStr">
        <is>
          <t>2026-09-25 00:13</t>
        </is>
      </c>
      <c r="J3" t="inlineStr">
        <is>
          <t>evidance/screenshots/2026-09-25_0013_TC002_newgame-screen.png</t>
        </is>
      </c>
      <c r="K3" t="inlineStr">
        <is>
          <t>Game Options / Map Options / Civilizations all present</t>
        </is>
      </c>
    </row>
    <row r="4">
      <c r="A4" t="inlineStr">
        <is>
          <t>TC-003</t>
        </is>
      </c>
      <c r="B4" t="inlineStr">
        <is>
          <t>Start a tiny single-player game</t>
        </is>
      </c>
      <c r="C4" t="inlineStr">
        <is>
          <t>Smoke</t>
        </is>
      </c>
      <c r="D4" t="inlineStr">
        <is>
          <t>High</t>
        </is>
      </c>
      <c r="E4" t="inlineStr">
        <is>
          <t>Pass</t>
        </is>
      </c>
      <c r="F4" t="inlineStr">
        <is>
          <t>4.22.3</t>
        </is>
      </c>
      <c r="G4" t="inlineStr">
        <is>
          <t>2026-09-25 00:13</t>
        </is>
      </c>
      <c r="H4" t="inlineStr">
        <is>
          <t>2026-09-25 00:14</t>
        </is>
      </c>
      <c r="J4" t="inlineStr">
        <is>
          <t>evidance/screenshots/2026-09-25_0014_TC003_game-started.png</t>
        </is>
      </c>
      <c r="K4" t="inlineStr">
        <is>
          <t>Tiny map, 1 human + 1 AI, Chieftain. Left New Game screen, map shown, no freeze.</t>
        </is>
      </c>
    </row>
    <row r="5">
      <c r="A5" t="inlineStr">
        <is>
          <t>TC-004</t>
        </is>
      </c>
      <c r="B5" t="inlineStr">
        <is>
          <t>First turn controls exist</t>
        </is>
      </c>
      <c r="C5" t="inlineStr">
        <is>
          <t>Smoke</t>
        </is>
      </c>
      <c r="D5" t="inlineStr">
        <is>
          <t>High</t>
        </is>
      </c>
      <c r="E5" t="inlineStr">
        <is>
          <t>Pass</t>
        </is>
      </c>
      <c r="F5" t="inlineStr">
        <is>
          <t>4.22.3</t>
        </is>
      </c>
      <c r="G5" t="inlineStr">
        <is>
          <t>2026-09-25 00:15</t>
        </is>
      </c>
      <c r="H5" t="inlineStr">
        <is>
          <t>2026-09-25 00:15</t>
        </is>
      </c>
      <c r="J5" t="inlineStr">
        <is>
          <t>evidance/screenshots/2026-09-25_0015_TC004_first-turn-controls.png</t>
        </is>
      </c>
      <c r="K5" t="inlineStr">
        <is>
          <t>Settler auto-selected with Found-city prompt; Next unit (2 idle) visible/enabled</t>
        </is>
      </c>
    </row>
    <row r="6">
      <c r="A6" t="inlineStr">
        <is>
          <t>TC-005</t>
        </is>
      </c>
      <c r="B6" t="inlineStr">
        <is>
          <t>New Game with no mods</t>
        </is>
      </c>
      <c r="C6" t="inlineStr">
        <is>
          <t>Smoke</t>
        </is>
      </c>
      <c r="D6" t="inlineStr">
        <is>
          <t>High</t>
        </is>
      </c>
      <c r="E6" t="inlineStr">
        <is>
          <t>Pass</t>
        </is>
      </c>
      <c r="F6" t="inlineStr">
        <is>
          <t>4.22.3</t>
        </is>
      </c>
      <c r="G6" t="inlineStr">
        <is>
          <t>2026-09-25 00:13</t>
        </is>
      </c>
      <c r="H6" t="inlineStr">
        <is>
          <t>2026-09-25 00:14</t>
        </is>
      </c>
      <c r="J6" t="inlineStr">
        <is>
          <t>evidance/screenshots/2026-09-25_0014_TC003_game-started.png</t>
        </is>
      </c>
      <c r="K6" t="inlineStr">
        <is>
          <t>No mods installed; game started on base Gods &amp; Kings ruleset with no missing-mod dialog (cross-ref TC-003 evidence)</t>
        </is>
      </c>
    </row>
    <row r="7">
      <c r="A7" t="inlineStr">
        <is>
          <t>TC-006</t>
        </is>
      </c>
      <c r="B7" t="inlineStr">
        <is>
          <t>Found a city with the settler</t>
        </is>
      </c>
      <c r="C7" t="inlineStr">
        <is>
          <t>Functional</t>
        </is>
      </c>
      <c r="D7" t="inlineStr">
        <is>
          <t>High</t>
        </is>
      </c>
      <c r="E7" t="inlineStr">
        <is>
          <t>Pass</t>
        </is>
      </c>
      <c r="F7" t="inlineStr">
        <is>
          <t>4.22.3</t>
        </is>
      </c>
      <c r="G7" t="inlineStr">
        <is>
          <t>2026-09-25 00:22</t>
        </is>
      </c>
      <c r="H7" t="inlineStr">
        <is>
          <t>2026-09-25 00:22</t>
        </is>
      </c>
      <c r="J7" t="inlineStr">
        <is>
          <t>evidance/screenshots/2026-09-25_0022_TC006_city-founded.png</t>
        </is>
      </c>
      <c r="K7" t="inlineStr">
        <is>
          <t>City Istanbul founded; banner and stats visible</t>
        </is>
      </c>
    </row>
    <row r="8">
      <c r="A8" t="inlineStr">
        <is>
          <t>TC-007</t>
        </is>
      </c>
      <c r="B8" t="inlineStr">
        <is>
          <t>Queue a production item</t>
        </is>
      </c>
      <c r="C8" t="inlineStr">
        <is>
          <t>Functional</t>
        </is>
      </c>
      <c r="D8" t="inlineStr">
        <is>
          <t>High</t>
        </is>
      </c>
      <c r="E8" t="inlineStr">
        <is>
          <t>Pass</t>
        </is>
      </c>
      <c r="F8" t="inlineStr">
        <is>
          <t>4.22.3</t>
        </is>
      </c>
      <c r="G8" t="inlineStr">
        <is>
          <t>2026-09-25 00:23</t>
        </is>
      </c>
      <c r="H8" t="inlineStr">
        <is>
          <t>2026-09-25 00:23</t>
        </is>
      </c>
      <c r="J8" t="inlineStr">
        <is>
          <t>evidance/screenshots/2026-09-25_0023_TC007_queued.png</t>
        </is>
      </c>
      <c r="K8" t="inlineStr">
        <is>
          <t>Warrior queued as current construction, production panel highlighted green</t>
        </is>
      </c>
    </row>
    <row r="9">
      <c r="A9" t="inlineStr">
        <is>
          <t>TC-008</t>
        </is>
      </c>
      <c r="B9" t="inlineStr">
        <is>
          <t>Change production before completion</t>
        </is>
      </c>
      <c r="C9" t="inlineStr">
        <is>
          <t>Functional</t>
        </is>
      </c>
      <c r="D9" t="inlineStr">
        <is>
          <t>Medium</t>
        </is>
      </c>
      <c r="E9" t="inlineStr">
        <is>
          <t>Pass</t>
        </is>
      </c>
      <c r="F9" t="inlineStr">
        <is>
          <t>4.22.3</t>
        </is>
      </c>
      <c r="G9" t="inlineStr">
        <is>
          <t>2026-09-25 01:22</t>
        </is>
      </c>
      <c r="H9" t="inlineStr">
        <is>
          <t>2026-09-25 01:27</t>
        </is>
      </c>
      <c r="J9" t="inlineStr">
        <is>
          <t>evidance/screenshots/2026-09-25_0127_TC008-reopened-monument.png</t>
        </is>
      </c>
      <c r="K9" t="inlineStr">
        <is>
          <t>Warrior was current. Monument added, Warrior removed. Reopened city: Monument still current, queue empty.</t>
        </is>
      </c>
    </row>
    <row r="10">
      <c r="A10" t="inlineStr">
        <is>
          <t>TC-009</t>
        </is>
      </c>
      <c r="B10" t="inlineStr">
        <is>
          <t>Open tech picker and select a tech</t>
        </is>
      </c>
      <c r="C10" t="inlineStr">
        <is>
          <t>Functional</t>
        </is>
      </c>
      <c r="D10" t="inlineStr">
        <is>
          <t>High</t>
        </is>
      </c>
      <c r="E10" t="inlineStr">
        <is>
          <t>Pass</t>
        </is>
      </c>
      <c r="F10" t="inlineStr">
        <is>
          <t>4.22.3</t>
        </is>
      </c>
      <c r="G10" t="inlineStr">
        <is>
          <t>2026-09-25 00:24</t>
        </is>
      </c>
      <c r="H10" t="inlineStr">
        <is>
          <t>2026-09-25 00:25</t>
        </is>
      </c>
      <c r="J10" t="inlineStr">
        <is>
          <t>evidance/screenshots/2026-09-25_0025_TC009-step3_backtomap.png</t>
        </is>
      </c>
      <c r="K10" t="inlineStr">
        <is>
          <t>Pottery selected as current research, shown in top-left tech panel with progress</t>
        </is>
      </c>
    </row>
    <row r="11">
      <c r="A11" t="inlineStr">
        <is>
          <t>TC-010</t>
        </is>
      </c>
      <c r="B11" t="inlineStr">
        <is>
          <t>Research selection survives Next Turn</t>
        </is>
      </c>
      <c r="C11" t="inlineStr">
        <is>
          <t>Functional</t>
        </is>
      </c>
      <c r="D11" t="inlineStr">
        <is>
          <t>High</t>
        </is>
      </c>
      <c r="E11" t="inlineStr">
        <is>
          <t>Pass</t>
        </is>
      </c>
      <c r="F11" t="inlineStr">
        <is>
          <t>4.22.3</t>
        </is>
      </c>
      <c r="G11" t="inlineStr">
        <is>
          <t>2026-09-25 01:16</t>
        </is>
      </c>
      <c r="H11" t="inlineStr">
        <is>
          <t>2026-09-25 01:31</t>
        </is>
      </c>
      <c r="J11" t="inlineStr">
        <is>
          <t>evidance/screenshots/2026-09-25_0131_TC010-after-turn.png</t>
        </is>
      </c>
      <c r="K11" t="inlineStr">
        <is>
          <t>Pottery was current at 0/22. After one Next turn it was still Pottery at 4/22.</t>
        </is>
      </c>
    </row>
    <row r="12">
      <c r="A12" t="inlineStr">
        <is>
          <t>TC-011</t>
        </is>
      </c>
      <c r="B12" t="inlineStr">
        <is>
          <t>Move a unit one tile</t>
        </is>
      </c>
      <c r="C12" t="inlineStr">
        <is>
          <t>Functional</t>
        </is>
      </c>
      <c r="D12" t="inlineStr">
        <is>
          <t>High</t>
        </is>
      </c>
      <c r="E12" t="inlineStr">
        <is>
          <t>Pass</t>
        </is>
      </c>
      <c r="F12" t="inlineStr">
        <is>
          <t>4.22.3</t>
        </is>
      </c>
      <c r="G12" t="inlineStr">
        <is>
          <t>2026-09-25 00:25</t>
        </is>
      </c>
      <c r="H12" t="inlineStr">
        <is>
          <t>2026-09-25 00:26</t>
        </is>
      </c>
      <c r="J12" t="inlineStr">
        <is>
          <t>evidance/screenshots/2026-09-25_0026_TC011_moved-confirm.png</t>
        </is>
      </c>
      <c r="K12" t="inlineStr">
        <is>
          <t>Warrior moved to Cattle tile, movement 2/2 -&gt; 1/2</t>
        </is>
      </c>
    </row>
    <row r="13">
      <c r="A13" t="inlineStr">
        <is>
          <t>TC-012</t>
        </is>
      </c>
      <c r="B13" t="inlineStr">
        <is>
          <t>Unit cannot enter illegal tile</t>
        </is>
      </c>
      <c r="C13" t="inlineStr">
        <is>
          <t>Negative</t>
        </is>
      </c>
      <c r="D13" t="inlineStr">
        <is>
          <t>Medium</t>
        </is>
      </c>
      <c r="E13" t="inlineStr">
        <is>
          <t>Blocked</t>
        </is>
      </c>
      <c r="F13" t="inlineStr">
        <is>
          <t>4.22.3</t>
        </is>
      </c>
      <c r="G13" t="inlineStr">
        <is>
          <t>2026-09-25 01:32</t>
        </is>
      </c>
      <c r="H13" t="inlineStr">
        <is>
          <t>2026-09-25 01:33</t>
        </is>
      </c>
      <c r="J13" t="inlineStr">
        <is>
          <t>evidance/screenshots/2026-09-25_0133_TC012-water-click.png</t>
        </is>
      </c>
      <c r="K13" t="inlineStr">
        <is>
          <t>Selected warrior's six neighbours are land. Visible coast is next to the city, not the warrior. Double-click on that coast left the warrior at 2/2. No crash. No illegal neighbour to refuse.</t>
        </is>
      </c>
    </row>
    <row r="14">
      <c r="A14" t="inlineStr">
        <is>
          <t>TC-013</t>
        </is>
      </c>
      <c r="B14" t="inlineStr">
        <is>
          <t>Attack an adjacent hostile if present</t>
        </is>
      </c>
      <c r="C14" t="inlineStr">
        <is>
          <t>Functional</t>
        </is>
      </c>
      <c r="D14" t="inlineStr">
        <is>
          <t>Medium</t>
        </is>
      </c>
      <c r="E14" t="inlineStr">
        <is>
          <t>Blocked</t>
        </is>
      </c>
      <c r="F14" t="inlineStr">
        <is>
          <t>4.22.3</t>
        </is>
      </c>
      <c r="G14" t="inlineStr">
        <is>
          <t>2026-09-25 01:41</t>
        </is>
      </c>
      <c r="H14" t="inlineStr">
        <is>
          <t>2026-09-25 01:49</t>
        </is>
      </c>
      <c r="J14" t="inlineStr">
        <is>
          <t>evidance/screenshots/2026-09-25_0149_back-to-map.png</t>
        </is>
      </c>
      <c r="K14" t="inlineStr">
        <is>
          <t>Turn 4, 3760 BC. Barbarian Brutes at (1,-7) and (3,6). Ottoman warrior at (-2,5). Greece warrior at (2,-2). None adjacent. No attack. Worked-tiles tutorial kept stealing later Next-turn clicks.</t>
        </is>
      </c>
    </row>
    <row r="15">
      <c r="A15" t="inlineStr">
        <is>
          <t>TC-014</t>
        </is>
      </c>
      <c r="B15" t="inlineStr">
        <is>
          <t>Civilopedia opens and closes</t>
        </is>
      </c>
      <c r="C15" t="inlineStr">
        <is>
          <t>Usability</t>
        </is>
      </c>
      <c r="D15" t="inlineStr">
        <is>
          <t>Medium</t>
        </is>
      </c>
      <c r="E15" t="inlineStr">
        <is>
          <t>Pass</t>
        </is>
      </c>
      <c r="F15" t="inlineStr">
        <is>
          <t>4.22.3</t>
        </is>
      </c>
      <c r="G15" t="inlineStr">
        <is>
          <t>2026-09-25 00:26</t>
        </is>
      </c>
      <c r="H15" t="inlineStr">
        <is>
          <t>2026-09-25 00:27</t>
        </is>
      </c>
      <c r="J15" t="inlineStr">
        <is>
          <t>evidance/screenshots/2026-09-25_0027_TC014_closed-responsive.png</t>
        </is>
      </c>
      <c r="K15" t="inlineStr">
        <is>
          <t>Opened Civilopedia, opened Contact Me entry, closed back to game screen; UI stayed responsive</t>
        </is>
      </c>
    </row>
    <row r="16">
      <c r="A16" t="inlineStr">
        <is>
          <t>TC-015</t>
        </is>
      </c>
      <c r="B16" t="inlineStr">
        <is>
          <t>Resize window mid-game</t>
        </is>
      </c>
      <c r="C16" t="inlineStr">
        <is>
          <t>Usability</t>
        </is>
      </c>
      <c r="D16" t="inlineStr">
        <is>
          <t>Medium</t>
        </is>
      </c>
      <c r="E16" t="inlineStr">
        <is>
          <t>Pass</t>
        </is>
      </c>
      <c r="F16" t="inlineStr">
        <is>
          <t>4.22.3</t>
        </is>
      </c>
      <c r="G16" t="inlineStr">
        <is>
          <t>2026-09-25 01:34</t>
        </is>
      </c>
      <c r="H16" t="inlineStr">
        <is>
          <t>2026-09-25 01:35</t>
        </is>
      </c>
      <c r="J16" t="inlineStr">
        <is>
          <t>evidance/screenshots/2026-09-25_0136_TC015-small-clicked.png</t>
        </is>
      </c>
      <c r="K16" t="inlineStr">
        <is>
          <t>Window reduced to about 960x600, map and buttons redrawn, a tile click still registered. Restored to 1366x713. UI still usable.</t>
        </is>
      </c>
    </row>
    <row r="17">
      <c r="A17" t="inlineStr">
        <is>
          <t>TC-016</t>
        </is>
      </c>
      <c r="B17" t="inlineStr">
        <is>
          <t>Change an option and read it back</t>
        </is>
      </c>
      <c r="C17" t="inlineStr">
        <is>
          <t>Functional</t>
        </is>
      </c>
      <c r="D17" t="inlineStr">
        <is>
          <t>High</t>
        </is>
      </c>
      <c r="E17" t="inlineStr">
        <is>
          <t>Pass</t>
        </is>
      </c>
      <c r="F17" t="inlineStr">
        <is>
          <t>4.22.3</t>
        </is>
      </c>
      <c r="G17" t="inlineStr">
        <is>
          <t>2026-09-25 00:27</t>
        </is>
      </c>
      <c r="H17" t="inlineStr">
        <is>
          <t>2026-09-25 00:28</t>
        </is>
      </c>
      <c r="J17" t="inlineStr">
        <is>
          <t>evidance/screenshots/2026-09-25_0028_TC016_reopened-persists.png</t>
        </is>
      </c>
      <c r="K17" t="inlineStr">
        <is>
          <t>Toggled 'Ask for confirmation when pressing next turn' ON, closed+reopened Options, value still checked</t>
        </is>
      </c>
    </row>
    <row r="18">
      <c r="A18" t="inlineStr">
        <is>
          <t>TC-017</t>
        </is>
      </c>
      <c r="B18" t="inlineStr">
        <is>
          <t>Option survives restart</t>
        </is>
      </c>
      <c r="C18" t="inlineStr">
        <is>
          <t>Confirmation</t>
        </is>
      </c>
      <c r="D18" t="inlineStr">
        <is>
          <t>High</t>
        </is>
      </c>
      <c r="E18" t="inlineStr">
        <is>
          <t>Pass</t>
        </is>
      </c>
      <c r="F18" t="inlineStr">
        <is>
          <t>4.22.3</t>
        </is>
      </c>
      <c r="G18" t="inlineStr">
        <is>
          <t>2026-09-25 00:29</t>
        </is>
      </c>
      <c r="H18" t="inlineStr">
        <is>
          <t>2026-09-25 01:05</t>
        </is>
      </c>
      <c r="J18" t="inlineStr">
        <is>
          <t>evidance/screenshots/2026-09-25_0103_TC017_checkbox-zoom.png</t>
        </is>
      </c>
      <c r="K18" t="inlineStr">
        <is>
          <t>Ask for confirmation when pressing next turn still checked after quit and relaunch. Checkbox-center luminance 75.6 on the post-restart shot, matching the checked shot (74.5) and not the unchecked shot (46.3). GameSettings confirmNextTurn=true.</t>
        </is>
      </c>
    </row>
    <row r="19">
      <c r="A19" t="inlineStr">
        <is>
          <t>TC-018</t>
        </is>
      </c>
      <c r="B19" t="inlineStr">
        <is>
          <t>Save a named game</t>
        </is>
      </c>
      <c r="C19" t="inlineStr">
        <is>
          <t>Functional</t>
        </is>
      </c>
      <c r="D19" t="inlineStr">
        <is>
          <t>High</t>
        </is>
      </c>
      <c r="E19" t="inlineStr">
        <is>
          <t>Pass</t>
        </is>
      </c>
      <c r="F19" t="inlineStr">
        <is>
          <t>4.22.3</t>
        </is>
      </c>
      <c r="G19" t="inlineStr">
        <is>
          <t>2026-09-25 00:16</t>
        </is>
      </c>
      <c r="H19" t="inlineStr">
        <is>
          <t>2026-09-25 00:17</t>
        </is>
      </c>
      <c r="J19" t="inlineStr">
        <is>
          <t>evidance/screenshots/2026-09-25_0017_TC018_saved.png</t>
        </is>
      </c>
      <c r="K19" t="inlineStr">
        <is>
          <t>Saved as QA-20260925; file confirmed at SaveFiles/QA-20260925, copied to evidance/saves/QA-20260925.json</t>
        </is>
      </c>
    </row>
    <row r="20">
      <c r="A20" t="inlineStr">
        <is>
          <t>TC-019</t>
        </is>
      </c>
      <c r="B20" t="inlineStr">
        <is>
          <t>Load the named save</t>
        </is>
      </c>
      <c r="C20" t="inlineStr">
        <is>
          <t>Functional</t>
        </is>
      </c>
      <c r="D20" t="inlineStr">
        <is>
          <t>High</t>
        </is>
      </c>
      <c r="E20" t="inlineStr">
        <is>
          <t>Pass</t>
        </is>
      </c>
      <c r="F20" t="inlineStr">
        <is>
          <t>4.22.3</t>
        </is>
      </c>
      <c r="G20" t="inlineStr">
        <is>
          <t>2026-09-25 00:18</t>
        </is>
      </c>
      <c r="H20" t="inlineStr">
        <is>
          <t>2026-09-25 00:19</t>
        </is>
      </c>
      <c r="J20" t="inlineStr">
        <is>
          <t>evidance/screenshots/2026-09-25_0019_TC019_loaded-match.png</t>
        </is>
      </c>
      <c r="K20" t="inlineStr">
        <is>
          <t>Loaded QA-20260925; turn 0/4000BC, Found-a-city prompt, same units match pre-save state</t>
        </is>
      </c>
    </row>
    <row r="21">
      <c r="A21" t="inlineStr">
        <is>
          <t>TC-020</t>
        </is>
      </c>
      <c r="B21" t="inlineStr">
        <is>
          <t>Continue after quit</t>
        </is>
      </c>
      <c r="C21" t="inlineStr">
        <is>
          <t>Functional</t>
        </is>
      </c>
      <c r="D21" t="inlineStr">
        <is>
          <t>High</t>
        </is>
      </c>
      <c r="E21" t="inlineStr">
        <is>
          <t>Pass</t>
        </is>
      </c>
      <c r="F21" t="inlineStr">
        <is>
          <t>4.22.3</t>
        </is>
      </c>
      <c r="G21" t="inlineStr">
        <is>
          <t>2026-09-25 00:20</t>
        </is>
      </c>
      <c r="H21" t="inlineStr">
        <is>
          <t>2026-09-25 00:21</t>
        </is>
      </c>
      <c r="J21" t="inlineStr">
        <is>
          <t>evidance/screenshots/2026-09-25_0021_TC020_resumed-match.png</t>
        </is>
      </c>
      <c r="K21" t="inlineStr">
        <is>
          <t>Process fully exited via in-game Exit (confirmed via ps), relaunched, Resume loaded identical turn 0/4000BC state</t>
        </is>
      </c>
    </row>
    <row r="22">
      <c r="A22" t="inlineStr">
        <is>
          <t>TC-021</t>
        </is>
      </c>
      <c r="B22" t="inlineStr">
        <is>
          <t>Smallest map still playable</t>
        </is>
      </c>
      <c r="C22" t="inlineStr">
        <is>
          <t>Boundary</t>
        </is>
      </c>
      <c r="D22" t="inlineStr">
        <is>
          <t>Medium</t>
        </is>
      </c>
      <c r="E22" t="inlineStr">
        <is>
          <t>Pass</t>
        </is>
      </c>
      <c r="F22" t="inlineStr">
        <is>
          <t>4.22.3</t>
        </is>
      </c>
      <c r="G22" t="inlineStr">
        <is>
          <t>2026-09-25 00:13</t>
        </is>
      </c>
      <c r="H22" t="inlineStr">
        <is>
          <t>2026-09-25 00:22</t>
        </is>
      </c>
      <c r="J22" t="inlineStr">
        <is>
          <t>evidance/screenshots/2026-09-25_0022_TC006_city-founded.png</t>
        </is>
      </c>
      <c r="K22" t="inlineStr">
        <is>
          <t>Same match as TC-003: Tiny map, 1 human + 1 AI, Chieftain. City Istanbul founded (TC-006). Map stayed playable through turn 4.</t>
        </is>
      </c>
    </row>
    <row r="23">
      <c r="A23" t="inlineStr">
        <is>
          <t>TC-022</t>
        </is>
      </c>
      <c r="B23" t="inlineStr">
        <is>
          <t>Start blocked when a required choice is empty</t>
        </is>
      </c>
      <c r="C23" t="inlineStr">
        <is>
          <t>Negative</t>
        </is>
      </c>
      <c r="D23" t="inlineStr">
        <is>
          <t>Low</t>
        </is>
      </c>
      <c r="E23" t="inlineStr">
        <is>
          <t>Blocked</t>
        </is>
      </c>
      <c r="F23" t="inlineStr">
        <is>
          <t>4.22.3</t>
        </is>
      </c>
      <c r="G23" t="inlineStr">
        <is>
          <t>2026-09-25 00:13</t>
        </is>
      </c>
      <c r="H23" t="inlineStr">
        <is>
          <t>2026-09-25 00:14</t>
        </is>
      </c>
      <c r="J23" t="inlineStr">
        <is>
          <t>evidance/screenshots/2026-09-25_0013_TC002_newgame-screen.png</t>
        </is>
      </c>
      <c r="K23" t="inlineStr">
        <is>
          <t>N/A. New Game fields seen on TC-002/TC-003 all have defaults (civ, difficulty, map size, AI count). No required control could be cleared to empty.</t>
        </is>
      </c>
    </row>
    <row r="24">
      <c r="A24" t="inlineStr">
        <is>
          <t>TC-023</t>
        </is>
      </c>
      <c r="B24" t="inlineStr">
        <is>
          <t>Save name rejected or trimmed if empty</t>
        </is>
      </c>
      <c r="C24" t="inlineStr">
        <is>
          <t>Negative</t>
        </is>
      </c>
      <c r="D24" t="inlineStr">
        <is>
          <t>Low</t>
        </is>
      </c>
      <c r="E24" t="inlineStr">
        <is>
          <t>Pass</t>
        </is>
      </c>
      <c r="F24" t="inlineStr">
        <is>
          <t>4.22.3</t>
        </is>
      </c>
      <c r="G24" t="inlineStr">
        <is>
          <t>2026-09-25 01:39</t>
        </is>
      </c>
      <c r="H24" t="inlineStr">
        <is>
          <t>2026-09-25 01:40</t>
        </is>
      </c>
      <c r="J24" t="inlineStr">
        <is>
          <t>evidance/screenshots/2026-09-25_0140_TC023-after-enter.png</t>
        </is>
      </c>
      <c r="K24" t="inlineStr">
        <is>
          <t>Save dialog name cleared. Enter did not create a file. No zero-byte save. Process stayed up. Existing saves unchanged.</t>
        </is>
      </c>
    </row>
    <row r="25">
      <c r="A25" t="inlineStr">
        <is>
          <t>TC-024</t>
        </is>
      </c>
      <c r="B25" t="inlineStr">
        <is>
          <t>Owned roads not charged as neutral — regression</t>
        </is>
      </c>
      <c r="C25" t="inlineStr">
        <is>
          <t>Confirmation</t>
        </is>
      </c>
      <c r="D25" t="inlineStr">
        <is>
          <t>Medium</t>
        </is>
      </c>
      <c r="E25" t="inlineStr">
        <is>
          <t>Blocked</t>
        </is>
      </c>
      <c r="F25" t="inlineStr">
        <is>
          <t>4.22.3</t>
        </is>
      </c>
      <c r="G25" t="inlineStr">
        <is>
          <t>2026-09-25 01:49</t>
        </is>
      </c>
      <c r="H25" t="inlineStr">
        <is>
          <t>2026-09-25 01:49</t>
        </is>
      </c>
      <c r="J25" t="inlineStr">
        <is>
          <t>evidance/saves/Autosave-turn4.json</t>
        </is>
      </c>
      <c r="K25" t="inlineStr">
        <is>
          <t>No Road improvement on any tile at turn 4. City center only. No worker. Roads not reached, so movement cost was not compared.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Planned</t>
        </is>
      </c>
      <c r="B2" t="n">
        <v>24</v>
      </c>
    </row>
    <row r="3">
      <c r="A3" t="inlineStr">
        <is>
          <t>Run</t>
        </is>
      </c>
      <c r="B3">
        <f>COUNTIFS(Run!E2:E25,"&lt;&gt;Not run")</f>
        <v>24</v>
      </c>
    </row>
    <row r="4">
      <c r="A4" t="inlineStr">
        <is>
          <t>Pass</t>
        </is>
      </c>
      <c r="B4">
        <f>COUNTIF(Run!E2:E25,"Pass")</f>
        <v>20</v>
      </c>
    </row>
    <row r="5">
      <c r="A5" t="inlineStr">
        <is>
          <t>Fail</t>
        </is>
      </c>
      <c r="B5">
        <f>COUNTIF(Run!E2:E25,"Fail")</f>
        <v>0</v>
      </c>
    </row>
    <row r="6">
      <c r="A6" t="inlineStr">
        <is>
          <t>Blocked</t>
        </is>
      </c>
      <c r="B6">
        <f>COUNTIF(Run!E2:E25,"Blocked")</f>
        <v>4</v>
      </c>
    </row>
    <row r="7">
      <c r="A7" t="inlineStr">
        <is>
          <t>Not run</t>
        </is>
      </c>
      <c r="B7">
        <f>COUNTIF(Run!E2:E25,"Not run")</f>
        <v>0</v>
      </c>
    </row>
    <row r="8">
      <c r="A8" t="inlineStr">
        <is>
          <t>Pass rate</t>
        </is>
      </c>
      <c r="B8">
        <f>IFERROR(B4/B3,0)</f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0" customWidth="1" min="3" max="3"/>
    <col width="9" customWidth="1" min="4" max="4"/>
    <col width="40" customWidth="1" min="5" max="5"/>
    <col width="10" customWidth="1" min="6" max="6"/>
  </cols>
  <sheetData>
    <row r="1">
      <c r="A1" t="inlineStr">
        <is>
          <t>Ticket_URL</t>
        </is>
      </c>
      <c r="B1" t="inlineStr">
        <is>
          <t>Severity</t>
        </is>
      </c>
      <c r="C1" t="inlineStr">
        <is>
          <t>Summary</t>
        </is>
      </c>
      <c r="D1" t="inlineStr">
        <is>
          <t>TC_ID</t>
        </is>
      </c>
      <c r="E1" t="inlineStr">
        <is>
          <t>Repro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OS</t>
        </is>
      </c>
      <c r="B2" t="inlineStr">
        <is>
          <t>Linux Lite (Ubuntu 24.04 family)</t>
        </is>
      </c>
    </row>
    <row r="3">
      <c r="A3" t="inlineStr">
        <is>
          <t>Java</t>
        </is>
      </c>
      <c r="B3" t="inlineStr">
        <is>
          <t>OpenJDK 21.0.7 (build 21.0.7+6-Ubuntu-0ubuntu124.04)</t>
        </is>
      </c>
    </row>
    <row r="4">
      <c r="A4" t="inlineStr">
        <is>
          <t>Unciv UI version</t>
        </is>
      </c>
      <c r="B4" t="inlineStr">
        <is>
          <t>4.22.3</t>
        </is>
      </c>
    </row>
    <row r="5">
      <c r="A5" t="inlineStr">
        <is>
          <t>Jar path</t>
        </is>
      </c>
      <c r="B5" t="inlineStr">
        <is>
          <t>/home/linuxlite/Desktop/The Sovereign Professional: Tech &amp; Income Stream Engineering/outcome/projects/github-project-proof/QA_mobiles_manual_testing/unciv-linux64/Unciv.jar</t>
        </is>
      </c>
    </row>
    <row r="6">
      <c r="A6" t="inlineStr">
        <is>
          <t>Launcher used</t>
        </is>
      </c>
      <c r="B6" t="inlineStr">
        <is>
          <t>/home/linuxlite/Desktop/The Sovereign Professional: Tech &amp; Income Stream Engineering/outcome/projects/github-project-proof/QA_mobiles_manual_testing/unciv-linux64/Unciv (native launcher)</t>
        </is>
      </c>
    </row>
    <row r="7">
      <c r="A7" t="inlineStr">
        <is>
          <t>Tracker</t>
        </is>
      </c>
      <c r="B7" t="inlineStr">
        <is>
          <t>GitHub Issues - SeifCoderXC/Qa-Portfolio-Manual-Test</t>
        </is>
      </c>
    </row>
    <row r="8">
      <c r="A8" t="inlineStr">
        <is>
          <t>Date</t>
        </is>
      </c>
      <c r="B8" t="inlineStr">
        <is>
          <t>2026-09-25</t>
        </is>
      </c>
    </row>
    <row r="9">
      <c r="A9" t="inlineStr">
        <is>
          <t>Tester</t>
        </is>
      </c>
      <c r="B9" t="inlineStr">
        <is>
          <t>Seif El Islam Bouklab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62" customWidth="1" min="4" max="4"/>
    <col width="78" customWidth="1" min="5" max="5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On 4.22.3</t>
        </is>
      </c>
      <c r="D1" s="1" t="inlineStr">
        <is>
          <t>Evidence</t>
        </is>
      </c>
      <c r="E1" s="1" t="inlineStr">
        <is>
          <t>Notes</t>
        </is>
      </c>
    </row>
    <row r="2">
      <c r="A2" s="1" t="inlineStr">
        <is>
          <t>BUG-001 New game resets a failed start</t>
        </is>
      </c>
      <c r="B2" s="1" t="inlineStr">
        <is>
          <t>4.22.0 notes</t>
        </is>
      </c>
      <c r="C2" s="1" t="inlineStr">
        <is>
          <t>Not run</t>
        </is>
      </c>
      <c r="D2" s="1" t="inlineStr"/>
      <c r="E2" s="1" t="inlineStr">
        <is>
          <t>Could not force a map-generation error. Normal tiny start in TC-003 succeeded.</t>
        </is>
      </c>
    </row>
    <row r="3">
      <c r="A3" s="1" t="inlineStr">
        <is>
          <t>BUG-002 Civilopedia ANR</t>
        </is>
      </c>
      <c r="B3" s="1" t="inlineStr">
        <is>
          <t>4.21.11 notes</t>
        </is>
      </c>
      <c r="C3" s="1" t="inlineStr">
        <is>
          <t>Confirmed fixed</t>
        </is>
      </c>
      <c r="D3" s="1" t="inlineStr">
        <is>
          <t>evidance/screenshots/2026-09-25_0027_TC014_closed-responsive.png</t>
        </is>
      </c>
      <c r="E3" s="1" t="inlineStr">
        <is>
          <t>Opened one entry and closed. UI stayed responsive. No stall.</t>
        </is>
      </c>
    </row>
    <row r="4">
      <c r="A4" s="1" t="inlineStr">
        <is>
          <t>BUG-003 Two city arrows at once</t>
        </is>
      </c>
      <c r="B4" s="1" t="inlineStr">
        <is>
          <t>4.21.11 notes</t>
        </is>
      </c>
      <c r="C4" s="1" t="inlineStr">
        <is>
          <t>Not run</t>
        </is>
      </c>
      <c r="D4" s="1" t="inlineStr">
        <is>
          <t>evidance/screenshots/2026-09-25_0124_TC008-step3_monument.png</t>
        </is>
      </c>
      <c r="E4" s="1" t="inlineStr">
        <is>
          <t>Only one city. The pair of next-city arrows was not shown. City screen itself did not crash.</t>
        </is>
      </c>
    </row>
    <row r="5">
      <c r="A5" s="1" t="inlineStr">
        <is>
          <t>BUG-004 Empty clipboard ID</t>
        </is>
      </c>
      <c r="B5" s="1" t="inlineStr">
        <is>
          <t>4.22.1 notes</t>
        </is>
      </c>
      <c r="C5" s="1" t="inlineStr">
        <is>
          <t>Not run</t>
        </is>
      </c>
      <c r="D5" s="1" t="inlineStr"/>
      <c r="E5" s="1" t="inlineStr">
        <is>
          <t>World menu did not open while the worked-tiles tutorial was up. ID-from-clipboard was not reached.</t>
        </is>
      </c>
    </row>
    <row r="6">
      <c r="A6" s="1" t="inlineStr">
        <is>
          <t>BUG-005 Owned road cost</t>
        </is>
      </c>
      <c r="B6" s="1" t="inlineStr">
        <is>
          <t>4.22.0 notes</t>
        </is>
      </c>
      <c r="C6" s="1" t="inlineStr">
        <is>
          <t>Blocked</t>
        </is>
      </c>
      <c r="D6" s="1" t="inlineStr">
        <is>
          <t>evidance/saves/Autosave-turn4.json</t>
        </is>
      </c>
      <c r="E6" s="1" t="inlineStr">
        <is>
          <t>Same as TC-024. No road tile to measure.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2026-09-24T21:10:27Z</dcterms:created>
  <dcterms:modified xsi:type="dcterms:W3CDTF">2026-09-24T22:53:07Z</dcterms:modified>
</cp:coreProperties>
</file>